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G\Excel-Tutorial\URI\"/>
    </mc:Choice>
  </mc:AlternateContent>
  <xr:revisionPtr revIDLastSave="0" documentId="13_ncr:1_{9C01216D-80F3-4CC8-9E17-73427CE2A1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okup1" sheetId="6" r:id="rId1"/>
    <sheet name="Lookup2" sheetId="7" r:id="rId2"/>
    <sheet name="Lookup3" sheetId="8" r:id="rId3"/>
    <sheet name="Text2Column" sheetId="9" r:id="rId4"/>
    <sheet name="FlashFill" sheetId="10" r:id="rId5"/>
  </sheets>
  <definedNames>
    <definedName name="gst_pc">#REF!</definedName>
    <definedName name="gst_pc2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4" i="6" l="1"/>
  <c r="F29" i="10"/>
  <c r="E29" i="10"/>
  <c r="D29" i="10"/>
  <c r="F28" i="10"/>
  <c r="E28" i="10"/>
  <c r="D28" i="10"/>
  <c r="D25" i="9"/>
  <c r="C25" i="9"/>
  <c r="C40" i="6"/>
  <c r="C39" i="6"/>
  <c r="C5" i="8"/>
  <c r="C6" i="8"/>
  <c r="C7" i="8"/>
  <c r="C8" i="8"/>
  <c r="C9" i="8"/>
  <c r="C10" i="8"/>
  <c r="C11" i="8"/>
  <c r="C12" i="8"/>
  <c r="C13" i="8"/>
  <c r="C4" i="8"/>
  <c r="A30" i="6" a="1"/>
  <c r="A30" i="6" s="1"/>
  <c r="F8" i="6"/>
  <c r="F5" i="7"/>
  <c r="F4" i="7"/>
  <c r="G30" i="6" l="1"/>
  <c r="T31" i="6"/>
  <c r="D31" i="6"/>
  <c r="M30" i="6"/>
  <c r="C31" i="6"/>
  <c r="W31" i="6"/>
  <c r="O31" i="6"/>
  <c r="G31" i="6"/>
  <c r="X30" i="6"/>
  <c r="P30" i="6"/>
  <c r="H30" i="6"/>
  <c r="V31" i="6"/>
  <c r="N31" i="6"/>
  <c r="F31" i="6"/>
  <c r="W30" i="6"/>
  <c r="O30" i="6"/>
  <c r="U31" i="6"/>
  <c r="M31" i="6"/>
  <c r="E31" i="6"/>
  <c r="V30" i="6"/>
  <c r="N30" i="6"/>
  <c r="F30" i="6"/>
  <c r="E30" i="6"/>
  <c r="D30" i="6"/>
  <c r="C30" i="6"/>
  <c r="B30" i="6"/>
  <c r="L31" i="6"/>
  <c r="U30" i="6"/>
  <c r="S31" i="6"/>
  <c r="K31" i="6"/>
  <c r="T30" i="6"/>
  <c r="L30" i="6"/>
  <c r="R31" i="6"/>
  <c r="J31" i="6"/>
  <c r="B31" i="6"/>
  <c r="S30" i="6"/>
  <c r="K30" i="6"/>
  <c r="Y31" i="6"/>
  <c r="Q31" i="6"/>
  <c r="I31" i="6"/>
  <c r="A31" i="6"/>
  <c r="R30" i="6"/>
  <c r="J30" i="6"/>
  <c r="X31" i="6"/>
  <c r="P31" i="6"/>
  <c r="H31" i="6"/>
  <c r="Y30" i="6"/>
  <c r="Q30" i="6"/>
  <c r="I30" i="6"/>
  <c r="C14" i="8"/>
</calcChain>
</file>

<file path=xl/sharedStrings.xml><?xml version="1.0" encoding="utf-8"?>
<sst xmlns="http://schemas.openxmlformats.org/spreadsheetml/2006/main" count="480" uniqueCount="181">
  <si>
    <t>Germany</t>
  </si>
  <si>
    <t>China</t>
  </si>
  <si>
    <t>India</t>
  </si>
  <si>
    <t>New Delhi</t>
  </si>
  <si>
    <t>COUNTRY</t>
  </si>
  <si>
    <t>CAPITAL</t>
  </si>
  <si>
    <t>United States</t>
  </si>
  <si>
    <t>Washington-DC</t>
  </si>
  <si>
    <t>Canada</t>
  </si>
  <si>
    <t>Ottawa</t>
  </si>
  <si>
    <t>Belgium</t>
  </si>
  <si>
    <t>Berlin</t>
  </si>
  <si>
    <t>Beijing</t>
  </si>
  <si>
    <t>Australia</t>
  </si>
  <si>
    <t>Canberra</t>
  </si>
  <si>
    <t>France</t>
  </si>
  <si>
    <t>Paris</t>
  </si>
  <si>
    <t>Brazil</t>
  </si>
  <si>
    <t>Brasília</t>
  </si>
  <si>
    <t>United Kingdom</t>
  </si>
  <si>
    <t>London</t>
  </si>
  <si>
    <t>Japan</t>
  </si>
  <si>
    <t>Tokyo</t>
  </si>
  <si>
    <t>Argentina</t>
  </si>
  <si>
    <t>Buenos Aires</t>
  </si>
  <si>
    <t>Indonesia</t>
  </si>
  <si>
    <t>Jakarta</t>
  </si>
  <si>
    <t>Bangladesh</t>
  </si>
  <si>
    <t>Dhaka</t>
  </si>
  <si>
    <t>Brussels</t>
  </si>
  <si>
    <t>Greece</t>
  </si>
  <si>
    <t>Athens</t>
  </si>
  <si>
    <t>Colombia</t>
  </si>
  <si>
    <t>Bogota</t>
  </si>
  <si>
    <t>Denmark</t>
  </si>
  <si>
    <t>Copenhagen</t>
  </si>
  <si>
    <t>Italy</t>
  </si>
  <si>
    <t>Rome</t>
  </si>
  <si>
    <t>Algeria</t>
  </si>
  <si>
    <t>Algiers</t>
  </si>
  <si>
    <t>Chile</t>
  </si>
  <si>
    <t>Santiago</t>
  </si>
  <si>
    <t>Russia</t>
  </si>
  <si>
    <t>Moscow</t>
  </si>
  <si>
    <t>Austria</t>
  </si>
  <si>
    <t>Vienna</t>
  </si>
  <si>
    <t>Afghanistan</t>
  </si>
  <si>
    <t>Kabul</t>
  </si>
  <si>
    <t>Finland</t>
  </si>
  <si>
    <t>Helsinki</t>
  </si>
  <si>
    <t>Customer-ID</t>
  </si>
  <si>
    <t>Outlet-Name</t>
  </si>
  <si>
    <t>Notes</t>
  </si>
  <si>
    <t>Tres Delicious</t>
  </si>
  <si>
    <t>High maintenance, not sure if it's worth having them as a
cusomer, but don't tell them that!</t>
  </si>
  <si>
    <t>ABC Groceries</t>
  </si>
  <si>
    <t>Friendly but a little old school. Takes way too much, set a
time limit on calls.</t>
  </si>
  <si>
    <t>ACME Bites</t>
  </si>
  <si>
    <t>One of our best customer! Likes to talk about sports</t>
  </si>
  <si>
    <t>Wholesome Food</t>
  </si>
  <si>
    <t>CEO has three kids, first one is Charles, don't know the rest.
CEO cares about Charles the most, so all good.</t>
  </si>
  <si>
    <t>Park &amp; Shop Convenience Stores</t>
  </si>
  <si>
    <t>New customer, make sure to please them!</t>
  </si>
  <si>
    <t>Items Ordered</t>
  </si>
  <si>
    <t>Order-id</t>
  </si>
  <si>
    <t>Free-Item</t>
  </si>
  <si>
    <t>Free-Items</t>
  </si>
  <si>
    <t>CLOSEST MATCH</t>
  </si>
  <si>
    <t>Emp ID</t>
  </si>
  <si>
    <t>First Name</t>
  </si>
  <si>
    <t>Last Name</t>
  </si>
  <si>
    <t>Full Name</t>
  </si>
  <si>
    <t>Dept</t>
  </si>
  <si>
    <t>Zone</t>
  </si>
  <si>
    <t>E-mail</t>
  </si>
  <si>
    <t>Phone</t>
  </si>
  <si>
    <t>Ext</t>
  </si>
  <si>
    <t>Location</t>
  </si>
  <si>
    <t>Joining Date</t>
  </si>
  <si>
    <t>Basic Pay</t>
  </si>
  <si>
    <t>Sudeep</t>
  </si>
  <si>
    <t>Panda</t>
  </si>
  <si>
    <t>PR</t>
  </si>
  <si>
    <t>West</t>
  </si>
  <si>
    <t>pandaksudeep</t>
  </si>
  <si>
    <t>Mumbai</t>
  </si>
  <si>
    <t>Jugendra</t>
  </si>
  <si>
    <t>Singh</t>
  </si>
  <si>
    <t>ST</t>
  </si>
  <si>
    <t>North</t>
  </si>
  <si>
    <t>jsingh</t>
  </si>
  <si>
    <t>Punjab</t>
  </si>
  <si>
    <t>Saurabh</t>
  </si>
  <si>
    <t>Banerjee</t>
  </si>
  <si>
    <t>SL</t>
  </si>
  <si>
    <t>East</t>
  </si>
  <si>
    <t>banerjee99</t>
  </si>
  <si>
    <t>Kolkata</t>
  </si>
  <si>
    <t>Ayswaria</t>
  </si>
  <si>
    <t>Reddy</t>
  </si>
  <si>
    <t>MK</t>
  </si>
  <si>
    <t>South</t>
  </si>
  <si>
    <t>aysreddy</t>
  </si>
  <si>
    <t>Chennai</t>
  </si>
  <si>
    <t>Asutosh</t>
  </si>
  <si>
    <t>Rana</t>
  </si>
  <si>
    <t>AD</t>
  </si>
  <si>
    <t>asuthoshrana1998</t>
  </si>
  <si>
    <t>Name &amp; Location</t>
  </si>
  <si>
    <t>Surendra</t>
  </si>
  <si>
    <t>Modi</t>
  </si>
  <si>
    <t>Biswamohan</t>
  </si>
  <si>
    <t>Mohapatra</t>
  </si>
  <si>
    <t>Sarat</t>
  </si>
  <si>
    <t>Balakrishnan</t>
  </si>
  <si>
    <t>Nair</t>
  </si>
  <si>
    <t>Jagannath</t>
  </si>
  <si>
    <t>Rout</t>
  </si>
  <si>
    <t>Adit</t>
  </si>
  <si>
    <t>Jena</t>
  </si>
  <si>
    <t>Bibhu</t>
  </si>
  <si>
    <t>Pattnaik</t>
  </si>
  <si>
    <t>Sarmista</t>
  </si>
  <si>
    <t>Mohanty</t>
  </si>
  <si>
    <t>Sriman</t>
  </si>
  <si>
    <t>Srimay</t>
  </si>
  <si>
    <t>Sarangi</t>
  </si>
  <si>
    <t>Yudistri</t>
  </si>
  <si>
    <t>Balabhadra</t>
  </si>
  <si>
    <t>Sunam</t>
  </si>
  <si>
    <t>Nayak</t>
  </si>
  <si>
    <t>Sumita</t>
  </si>
  <si>
    <t>Amitav</t>
  </si>
  <si>
    <t>Bachan</t>
  </si>
  <si>
    <t>Samir</t>
  </si>
  <si>
    <t>Choudhury</t>
  </si>
  <si>
    <t>Niranjan</t>
  </si>
  <si>
    <t>Samal</t>
  </si>
  <si>
    <t>Jugendra Singh</t>
  </si>
  <si>
    <t>Saurabh Banerjee</t>
  </si>
  <si>
    <t>Asutosh Rana</t>
  </si>
  <si>
    <t>Second Name</t>
  </si>
  <si>
    <t>Third Name</t>
  </si>
  <si>
    <t>Ayswaria Suman Reddy</t>
  </si>
  <si>
    <t>Sudeep Kishore Panda</t>
  </si>
  <si>
    <t>Kishore</t>
  </si>
  <si>
    <t>Suman</t>
  </si>
  <si>
    <t>SKP, West</t>
  </si>
  <si>
    <t>FN, Zone</t>
  </si>
  <si>
    <t>JS, North</t>
  </si>
  <si>
    <t>SB, East</t>
  </si>
  <si>
    <t>ASR, South</t>
  </si>
  <si>
    <t>AR, West</t>
  </si>
  <si>
    <t>Panda Sudeep</t>
  </si>
  <si>
    <t>Singh Jugendra</t>
  </si>
  <si>
    <t>Banerjee Saurabh</t>
  </si>
  <si>
    <t>Reddy Ayswaria</t>
  </si>
  <si>
    <t>Rana Asutosh</t>
  </si>
  <si>
    <t>Modi Surendra</t>
  </si>
  <si>
    <t>Mohapatra Biswamohan</t>
  </si>
  <si>
    <t>Singh Sarat</t>
  </si>
  <si>
    <t>Nair Balakrishnan</t>
  </si>
  <si>
    <t>Rout Jagannath</t>
  </si>
  <si>
    <t>Jena Adit</t>
  </si>
  <si>
    <t>Pattnaik Bibhu</t>
  </si>
  <si>
    <t>Mohanty Sarmista</t>
  </si>
  <si>
    <t>Rana Sriman</t>
  </si>
  <si>
    <t>Sarangi Srimay</t>
  </si>
  <si>
    <t>Balabhadra Yudistri</t>
  </si>
  <si>
    <t>Nayak Sunam</t>
  </si>
  <si>
    <t>Banerjee Sumita</t>
  </si>
  <si>
    <t>Bachan Amitav</t>
  </si>
  <si>
    <t>Choudhury Samir</t>
  </si>
  <si>
    <t>Samal Niranjan</t>
  </si>
  <si>
    <r>
      <t>Remember that </t>
    </r>
    <r>
      <rPr>
        <sz val="12"/>
        <color rgb="FF040C28"/>
        <rFont val="Arial"/>
        <family val="2"/>
      </rPr>
      <t>the lookup value should always be in the first column in the range</t>
    </r>
    <r>
      <rPr>
        <sz val="12"/>
        <color rgb="FF1F1F1F"/>
        <rFont val="Arial"/>
        <family val="2"/>
      </rPr>
      <t> for VLOOKUP to work correctly.</t>
    </r>
  </si>
  <si>
    <r>
      <t>Lookup values should always be located in the first row of table_array</t>
    </r>
    <r>
      <rPr>
        <sz val="12"/>
        <color rgb="FF1F1F1F"/>
        <rFont val="Arial"/>
        <family val="2"/>
      </rPr>
      <t>.</t>
    </r>
  </si>
  <si>
    <t>Name</t>
  </si>
  <si>
    <t>Department</t>
  </si>
  <si>
    <t>Tel-no</t>
  </si>
  <si>
    <t>country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</si>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</sst>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sz val="12"/>
      <color rgb="FF040C2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2">
    <xf numFmtId="0" fontId="0" fillId="0" borderId="0" xfId="0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4" borderId="8" xfId="0" applyFill="1" applyBorder="1"/>
    <xf numFmtId="0" fontId="0" fillId="4" borderId="0" xfId="0" applyFill="1"/>
    <xf numFmtId="0" fontId="4" fillId="5" borderId="1" xfId="0" applyFont="1" applyFill="1" applyBorder="1" applyAlignment="1">
      <alignment horizontal="center"/>
    </xf>
    <xf numFmtId="43" fontId="5" fillId="0" borderId="0" xfId="1" applyFont="1"/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0" fontId="0" fillId="4" borderId="7" xfId="0" applyFill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4" borderId="7" xfId="0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vertical="center"/>
    </xf>
    <xf numFmtId="0" fontId="0" fillId="4" borderId="4" xfId="0" applyFill="1" applyBorder="1" applyAlignment="1">
      <alignment vertical="center" wrapText="1"/>
    </xf>
    <xf numFmtId="0" fontId="0" fillId="6" borderId="7" xfId="0" applyFill="1" applyBorder="1"/>
    <xf numFmtId="0" fontId="7" fillId="0" borderId="0" xfId="0" applyFont="1"/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EE3D-C5E0-4F93-AFF5-C93E88CEE380}">
  <dimension ref="A2:Y44"/>
  <sheetViews>
    <sheetView tabSelected="1" topLeftCell="A28" workbookViewId="0">
      <selection activeCell="D44" sqref="D44"/>
    </sheetView>
  </sheetViews>
  <sheetFormatPr defaultRowHeight="15.75" x14ac:dyDescent="0.25"/>
  <cols>
    <col min="1" max="1" width="15.75" customWidth="1"/>
    <col min="2" max="2" width="15.125" customWidth="1"/>
    <col min="9" max="9" width="13.875" bestFit="1" customWidth="1"/>
    <col min="11" max="11" width="11.5" bestFit="1" customWidth="1"/>
    <col min="12" max="12" width="8.75" bestFit="1" customWidth="1"/>
  </cols>
  <sheetData>
    <row r="2" spans="1:6" x14ac:dyDescent="0.25">
      <c r="A2" s="1" t="s">
        <v>4</v>
      </c>
      <c r="B2" s="1" t="s">
        <v>5</v>
      </c>
    </row>
    <row r="3" spans="1:6" x14ac:dyDescent="0.25">
      <c r="A3" t="s">
        <v>6</v>
      </c>
      <c r="B3" t="s">
        <v>7</v>
      </c>
    </row>
    <row r="4" spans="1:6" x14ac:dyDescent="0.25">
      <c r="A4" t="s">
        <v>8</v>
      </c>
      <c r="B4" t="s">
        <v>9</v>
      </c>
    </row>
    <row r="5" spans="1:6" x14ac:dyDescent="0.25">
      <c r="A5" t="s">
        <v>0</v>
      </c>
      <c r="B5" t="s">
        <v>11</v>
      </c>
    </row>
    <row r="6" spans="1:6" x14ac:dyDescent="0.25">
      <c r="A6" t="s">
        <v>2</v>
      </c>
      <c r="B6" t="s">
        <v>3</v>
      </c>
    </row>
    <row r="7" spans="1:6" x14ac:dyDescent="0.25">
      <c r="A7" t="s">
        <v>1</v>
      </c>
      <c r="B7" t="s">
        <v>12</v>
      </c>
      <c r="E7" t="s">
        <v>4</v>
      </c>
      <c r="F7" t="s">
        <v>2</v>
      </c>
    </row>
    <row r="8" spans="1:6" x14ac:dyDescent="0.25">
      <c r="A8" t="s">
        <v>13</v>
      </c>
      <c r="B8" t="s">
        <v>14</v>
      </c>
      <c r="E8" t="s">
        <v>5</v>
      </c>
      <c r="F8" t="str">
        <f>VLOOKUP(F7,A3:B26,2,FALSE)</f>
        <v>New Delhi</v>
      </c>
    </row>
    <row r="9" spans="1:6" x14ac:dyDescent="0.25">
      <c r="A9" t="s">
        <v>15</v>
      </c>
      <c r="B9" t="s">
        <v>16</v>
      </c>
    </row>
    <row r="10" spans="1:6" x14ac:dyDescent="0.25">
      <c r="A10" t="s">
        <v>17</v>
      </c>
      <c r="B10" t="s">
        <v>18</v>
      </c>
    </row>
    <row r="11" spans="1:6" x14ac:dyDescent="0.25">
      <c r="A11" t="s">
        <v>19</v>
      </c>
      <c r="B11" t="s">
        <v>20</v>
      </c>
    </row>
    <row r="12" spans="1:6" x14ac:dyDescent="0.25">
      <c r="A12" t="s">
        <v>21</v>
      </c>
      <c r="B12" t="s">
        <v>22</v>
      </c>
    </row>
    <row r="13" spans="1:6" x14ac:dyDescent="0.25">
      <c r="A13" t="s">
        <v>23</v>
      </c>
      <c r="B13" t="s">
        <v>24</v>
      </c>
    </row>
    <row r="14" spans="1:6" x14ac:dyDescent="0.25">
      <c r="A14" t="s">
        <v>25</v>
      </c>
      <c r="B14" t="s">
        <v>26</v>
      </c>
    </row>
    <row r="15" spans="1:6" x14ac:dyDescent="0.25">
      <c r="A15" t="s">
        <v>27</v>
      </c>
      <c r="B15" t="s">
        <v>28</v>
      </c>
    </row>
    <row r="16" spans="1:6" x14ac:dyDescent="0.25">
      <c r="A16" t="s">
        <v>10</v>
      </c>
      <c r="B16" t="s">
        <v>29</v>
      </c>
    </row>
    <row r="17" spans="1:25" x14ac:dyDescent="0.25">
      <c r="A17" t="s">
        <v>30</v>
      </c>
      <c r="B17" t="s">
        <v>31</v>
      </c>
    </row>
    <row r="18" spans="1:25" x14ac:dyDescent="0.25">
      <c r="A18" t="s">
        <v>32</v>
      </c>
      <c r="B18" t="s">
        <v>33</v>
      </c>
    </row>
    <row r="19" spans="1:25" x14ac:dyDescent="0.25">
      <c r="A19" t="s">
        <v>34</v>
      </c>
      <c r="B19" t="s">
        <v>35</v>
      </c>
    </row>
    <row r="20" spans="1:25" x14ac:dyDescent="0.25">
      <c r="A20" t="s">
        <v>36</v>
      </c>
      <c r="B20" t="s">
        <v>37</v>
      </c>
    </row>
    <row r="21" spans="1:25" x14ac:dyDescent="0.25">
      <c r="A21" t="s">
        <v>38</v>
      </c>
      <c r="B21" t="s">
        <v>39</v>
      </c>
    </row>
    <row r="22" spans="1:25" x14ac:dyDescent="0.25">
      <c r="A22" t="s">
        <v>40</v>
      </c>
      <c r="B22" t="s">
        <v>41</v>
      </c>
    </row>
    <row r="23" spans="1:25" x14ac:dyDescent="0.25">
      <c r="A23" t="s">
        <v>42</v>
      </c>
      <c r="B23" t="s">
        <v>43</v>
      </c>
    </row>
    <row r="24" spans="1:25" x14ac:dyDescent="0.25">
      <c r="A24" t="s">
        <v>44</v>
      </c>
      <c r="B24" t="s">
        <v>45</v>
      </c>
    </row>
    <row r="25" spans="1:25" x14ac:dyDescent="0.25">
      <c r="A25" t="s">
        <v>46</v>
      </c>
      <c r="B25" t="s">
        <v>47</v>
      </c>
    </row>
    <row r="26" spans="1:25" x14ac:dyDescent="0.25">
      <c r="A26" t="s">
        <v>48</v>
      </c>
      <c r="B26" t="s">
        <v>49</v>
      </c>
    </row>
    <row r="30" spans="1:25" x14ac:dyDescent="0.25">
      <c r="A30" t="str">
        <f t="array" ref="A30:Y31">TRANSPOSE(A3:B26)</f>
        <v>United States</v>
      </c>
      <c r="B30" t="str">
        <v>Canada</v>
      </c>
      <c r="C30" t="str">
        <v>Germany</v>
      </c>
      <c r="D30" t="str">
        <v>India</v>
      </c>
      <c r="E30" t="str">
        <v>China</v>
      </c>
      <c r="F30" t="str">
        <v>Australia</v>
      </c>
      <c r="G30" t="str">
        <v>France</v>
      </c>
      <c r="H30" t="str">
        <v>Brazil</v>
      </c>
      <c r="I30" t="str">
        <v>United Kingdom</v>
      </c>
      <c r="J30" t="str">
        <v>Japan</v>
      </c>
      <c r="K30" t="str">
        <v>Argentina</v>
      </c>
      <c r="L30" t="str">
        <v>Indonesia</v>
      </c>
      <c r="M30" t="str">
        <v>Bangladesh</v>
      </c>
      <c r="N30" t="str">
        <v>Belgium</v>
      </c>
      <c r="O30" t="str">
        <v>Greece</v>
      </c>
      <c r="P30" t="str">
        <v>Colombia</v>
      </c>
      <c r="Q30" t="str">
        <v>Denmark</v>
      </c>
      <c r="R30" t="str">
        <v>Italy</v>
      </c>
      <c r="S30" t="str">
        <v>Algeria</v>
      </c>
      <c r="T30" t="str">
        <v>Chile</v>
      </c>
      <c r="U30" t="str">
        <v>Russia</v>
      </c>
      <c r="V30" t="str">
        <v>Austria</v>
      </c>
      <c r="W30" t="str">
        <v>Afghanistan</v>
      </c>
      <c r="X30" t="str">
        <v>Finland</v>
      </c>
      <c r="Y30" t="e">
        <v>#N/A</v>
      </c>
    </row>
    <row r="31" spans="1:25" x14ac:dyDescent="0.25">
      <c r="A31" t="str">
        <v>Washington-DC</v>
      </c>
      <c r="B31" t="str">
        <v>Ottawa</v>
      </c>
      <c r="C31" t="str">
        <v>Berlin</v>
      </c>
      <c r="D31" t="str">
        <v>New Delhi</v>
      </c>
      <c r="E31" t="str">
        <v>Beijing</v>
      </c>
      <c r="F31" t="str">
        <v>Canberra</v>
      </c>
      <c r="G31" t="str">
        <v>Paris</v>
      </c>
      <c r="H31" t="str">
        <v>Brasília</v>
      </c>
      <c r="I31" t="str">
        <v>London</v>
      </c>
      <c r="J31" t="str">
        <v>Tokyo</v>
      </c>
      <c r="K31" t="str">
        <v>Buenos Aires</v>
      </c>
      <c r="L31" t="str">
        <v>Jakarta</v>
      </c>
      <c r="M31" t="str">
        <v>Dhaka</v>
      </c>
      <c r="N31" t="str">
        <v>Brussels</v>
      </c>
      <c r="O31" t="str">
        <v>Athens</v>
      </c>
      <c r="P31" t="str">
        <v>Bogota</v>
      </c>
      <c r="Q31" t="str">
        <v>Copenhagen</v>
      </c>
      <c r="R31" t="str">
        <v>Rome</v>
      </c>
      <c r="S31" t="str">
        <v>Algiers</v>
      </c>
      <c r="T31" t="str">
        <v>Santiago</v>
      </c>
      <c r="U31" t="str">
        <v>Moscow</v>
      </c>
      <c r="V31" t="str">
        <v>Vienna</v>
      </c>
      <c r="W31" t="str">
        <v>Kabul</v>
      </c>
      <c r="X31" t="str">
        <v>Helsinki</v>
      </c>
      <c r="Y31" t="e">
        <v>#N/A</v>
      </c>
    </row>
    <row r="34" spans="1:24" x14ac:dyDescent="0.25">
      <c r="A34" t="s">
        <v>6</v>
      </c>
      <c r="B34" t="s">
        <v>8</v>
      </c>
      <c r="C34" t="s">
        <v>0</v>
      </c>
      <c r="D34" t="s">
        <v>2</v>
      </c>
      <c r="E34" t="s">
        <v>1</v>
      </c>
      <c r="F34" t="s">
        <v>13</v>
      </c>
      <c r="G34" t="s">
        <v>15</v>
      </c>
      <c r="H34" t="s">
        <v>17</v>
      </c>
      <c r="I34" t="s">
        <v>19</v>
      </c>
      <c r="J34" t="s">
        <v>21</v>
      </c>
      <c r="K34" t="s">
        <v>23</v>
      </c>
      <c r="L34" t="s">
        <v>25</v>
      </c>
      <c r="M34" t="s">
        <v>27</v>
      </c>
      <c r="N34" t="s">
        <v>10</v>
      </c>
      <c r="O34" t="s">
        <v>30</v>
      </c>
      <c r="P34" t="s">
        <v>32</v>
      </c>
      <c r="Q34" t="s">
        <v>34</v>
      </c>
      <c r="R34" t="s">
        <v>36</v>
      </c>
      <c r="S34" t="s">
        <v>38</v>
      </c>
      <c r="T34" t="s">
        <v>40</v>
      </c>
      <c r="U34" t="s">
        <v>42</v>
      </c>
      <c r="V34" t="s">
        <v>44</v>
      </c>
      <c r="W34" t="s">
        <v>46</v>
      </c>
      <c r="X34" t="s">
        <v>48</v>
      </c>
    </row>
    <row r="35" spans="1:24" x14ac:dyDescent="0.25">
      <c r="A35" t="s">
        <v>7</v>
      </c>
      <c r="B35" t="s">
        <v>9</v>
      </c>
      <c r="C35" t="s">
        <v>11</v>
      </c>
      <c r="D35" t="s">
        <v>3</v>
      </c>
      <c r="E35" t="s">
        <v>12</v>
      </c>
      <c r="F35" t="s">
        <v>14</v>
      </c>
      <c r="G35" t="s">
        <v>16</v>
      </c>
      <c r="H35" t="s">
        <v>18</v>
      </c>
      <c r="I35" t="s">
        <v>20</v>
      </c>
      <c r="J35" t="s">
        <v>22</v>
      </c>
      <c r="K35" t="s">
        <v>24</v>
      </c>
      <c r="L35" t="s">
        <v>26</v>
      </c>
      <c r="M35" t="s">
        <v>28</v>
      </c>
      <c r="N35" t="s">
        <v>29</v>
      </c>
      <c r="O35" t="s">
        <v>31</v>
      </c>
      <c r="P35" t="s">
        <v>33</v>
      </c>
      <c r="Q35" t="s">
        <v>35</v>
      </c>
      <c r="R35" t="s">
        <v>37</v>
      </c>
      <c r="S35" t="s">
        <v>39</v>
      </c>
      <c r="T35" t="s">
        <v>41</v>
      </c>
      <c r="U35" t="s">
        <v>43</v>
      </c>
      <c r="V35" t="s">
        <v>45</v>
      </c>
      <c r="W35" t="s">
        <v>47</v>
      </c>
      <c r="X35" t="s">
        <v>49</v>
      </c>
    </row>
    <row r="39" spans="1:24" x14ac:dyDescent="0.25">
      <c r="A39" t="s">
        <v>4</v>
      </c>
      <c r="B39" t="s">
        <v>1</v>
      </c>
      <c r="C39" t="str">
        <f>VLOOKUP(B39,A3:B26,2,FALSE)</f>
        <v>Beijing</v>
      </c>
    </row>
    <row r="40" spans="1:24" x14ac:dyDescent="0.25">
      <c r="A40" t="s">
        <v>5</v>
      </c>
      <c r="B40" t="s">
        <v>13</v>
      </c>
      <c r="C40" t="str">
        <f>HLOOKUP(B40,A34:X35,2,FALSE)</f>
        <v>Canberra</v>
      </c>
    </row>
    <row r="43" spans="1:24" x14ac:dyDescent="0.25">
      <c r="C43" t="s">
        <v>179</v>
      </c>
      <c r="D43" t="s">
        <v>180</v>
      </c>
    </row>
    <row r="44" spans="1:24" x14ac:dyDescent="0.25">
      <c r="C44" t="s">
        <v>17</v>
      </c>
      <c r="D44" t="str">
        <f>IFERROR(HLOOKUP(C44,A34:X35,2,FALSE),"")</f>
        <v>Brasília</v>
      </c>
    </row>
  </sheetData>
  <dataValidations count="1">
    <dataValidation type="list" allowBlank="1" showInputMessage="1" showErrorMessage="1" sqref="C44" xr:uid="{6DDDEC3A-0D77-4BB6-8379-999CAE32A9F4}">
      <formula1>$A$34:$X$34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26A7-12AC-4BE4-BBCA-7C9170CB274C}">
  <dimension ref="A1:F6"/>
  <sheetViews>
    <sheetView workbookViewId="0">
      <selection activeCell="F3" sqref="F3"/>
    </sheetView>
  </sheetViews>
  <sheetFormatPr defaultRowHeight="15.75" x14ac:dyDescent="0.25"/>
  <cols>
    <col min="1" max="1" width="14.625" customWidth="1"/>
    <col min="2" max="2" width="23.875" customWidth="1"/>
    <col min="3" max="3" width="43.25" customWidth="1"/>
    <col min="5" max="5" width="15.75" customWidth="1"/>
    <col min="6" max="6" width="39.75" customWidth="1"/>
  </cols>
  <sheetData>
    <row r="1" spans="1:6" x14ac:dyDescent="0.25">
      <c r="A1" s="26" t="s">
        <v>50</v>
      </c>
      <c r="B1" s="27" t="s">
        <v>51</v>
      </c>
      <c r="C1" s="28" t="s">
        <v>52</v>
      </c>
    </row>
    <row r="2" spans="1:6" ht="47.25" x14ac:dyDescent="0.25">
      <c r="A2" s="29">
        <v>1</v>
      </c>
      <c r="B2" s="30" t="s">
        <v>53</v>
      </c>
      <c r="C2" s="31" t="s">
        <v>54</v>
      </c>
    </row>
    <row r="3" spans="1:6" ht="47.25" x14ac:dyDescent="0.25">
      <c r="A3" s="32">
        <v>2</v>
      </c>
      <c r="B3" s="33" t="s">
        <v>55</v>
      </c>
      <c r="C3" s="34" t="s">
        <v>56</v>
      </c>
      <c r="E3" s="2" t="s">
        <v>50</v>
      </c>
      <c r="F3" s="3">
        <v>5</v>
      </c>
    </row>
    <row r="4" spans="1:6" x14ac:dyDescent="0.25">
      <c r="A4" s="29">
        <v>3</v>
      </c>
      <c r="B4" s="30" t="s">
        <v>57</v>
      </c>
      <c r="C4" s="35" t="s">
        <v>58</v>
      </c>
      <c r="E4" s="2" t="s">
        <v>51</v>
      </c>
      <c r="F4" s="4" t="str">
        <f>VLOOKUP(F3,Lookup2!$A$1:$C$6,2,FALSE)</f>
        <v>Park &amp; Shop Convenience Stores</v>
      </c>
    </row>
    <row r="5" spans="1:6" ht="47.25" x14ac:dyDescent="0.25">
      <c r="A5" s="32">
        <v>4</v>
      </c>
      <c r="B5" s="33" t="s">
        <v>59</v>
      </c>
      <c r="C5" s="34" t="s">
        <v>60</v>
      </c>
      <c r="E5" s="5" t="s">
        <v>52</v>
      </c>
      <c r="F5" s="6" t="str">
        <f>VLOOKUP(F3,Lookup2!$A$1:$C$6,3,FALSE)</f>
        <v>New customer, make sure to please them!</v>
      </c>
    </row>
    <row r="6" spans="1:6" x14ac:dyDescent="0.25">
      <c r="A6" s="36">
        <v>5</v>
      </c>
      <c r="B6" s="37" t="s">
        <v>61</v>
      </c>
      <c r="C6" s="38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66A1-ADFA-496D-BE4E-02916537DA27}">
  <dimension ref="A1:G17"/>
  <sheetViews>
    <sheetView zoomScale="145" zoomScaleNormal="145" workbookViewId="0">
      <selection activeCell="C5" sqref="C5"/>
    </sheetView>
  </sheetViews>
  <sheetFormatPr defaultRowHeight="15.75" x14ac:dyDescent="0.25"/>
  <cols>
    <col min="1" max="1" width="17.125" customWidth="1"/>
    <col min="2" max="2" width="10.875" customWidth="1"/>
    <col min="3" max="3" width="12.5" customWidth="1"/>
    <col min="6" max="6" width="17.125" customWidth="1"/>
    <col min="7" max="7" width="14" customWidth="1"/>
  </cols>
  <sheetData>
    <row r="1" spans="1:7" ht="18.75" x14ac:dyDescent="0.3">
      <c r="A1" s="19" t="s">
        <v>67</v>
      </c>
    </row>
    <row r="3" spans="1:7" x14ac:dyDescent="0.25">
      <c r="A3" s="7" t="s">
        <v>63</v>
      </c>
      <c r="B3" s="8" t="s">
        <v>64</v>
      </c>
      <c r="C3" s="9" t="s">
        <v>65</v>
      </c>
      <c r="F3" s="7" t="s">
        <v>63</v>
      </c>
      <c r="G3" s="9" t="s">
        <v>66</v>
      </c>
    </row>
    <row r="4" spans="1:7" x14ac:dyDescent="0.25">
      <c r="A4" s="10">
        <v>26</v>
      </c>
      <c r="B4" s="11">
        <v>1712</v>
      </c>
      <c r="C4" s="12">
        <f>VLOOKUP(A4,F4:G17,2)</f>
        <v>0</v>
      </c>
      <c r="F4" s="10">
        <v>0</v>
      </c>
      <c r="G4" s="12">
        <v>0</v>
      </c>
    </row>
    <row r="5" spans="1:7" x14ac:dyDescent="0.25">
      <c r="A5" s="13">
        <v>101</v>
      </c>
      <c r="B5" s="14">
        <v>7374</v>
      </c>
      <c r="C5" s="39">
        <f t="shared" ref="C5:C13" si="0">VLOOKUP(A5,F5:G18,2)</f>
        <v>5</v>
      </c>
      <c r="F5" s="13">
        <v>100</v>
      </c>
      <c r="G5" s="15">
        <v>5</v>
      </c>
    </row>
    <row r="6" spans="1:7" x14ac:dyDescent="0.25">
      <c r="A6" s="10">
        <v>245</v>
      </c>
      <c r="B6" s="11">
        <v>5726</v>
      </c>
      <c r="C6" s="12">
        <f t="shared" si="0"/>
        <v>15</v>
      </c>
      <c r="F6" s="10">
        <v>150</v>
      </c>
      <c r="G6" s="12">
        <v>10</v>
      </c>
    </row>
    <row r="7" spans="1:7" x14ac:dyDescent="0.25">
      <c r="A7" s="13">
        <v>956</v>
      </c>
      <c r="B7" s="14">
        <v>2148</v>
      </c>
      <c r="C7" s="39">
        <f t="shared" si="0"/>
        <v>75</v>
      </c>
      <c r="F7" s="13">
        <v>200</v>
      </c>
      <c r="G7" s="15">
        <v>15</v>
      </c>
    </row>
    <row r="8" spans="1:7" x14ac:dyDescent="0.25">
      <c r="A8" s="10">
        <v>363</v>
      </c>
      <c r="B8" s="11">
        <v>5526</v>
      </c>
      <c r="C8" s="12">
        <f t="shared" si="0"/>
        <v>30</v>
      </c>
      <c r="F8" s="10">
        <v>250</v>
      </c>
      <c r="G8" s="12">
        <v>20</v>
      </c>
    </row>
    <row r="9" spans="1:7" x14ac:dyDescent="0.25">
      <c r="A9" s="13">
        <v>392</v>
      </c>
      <c r="B9" s="14">
        <v>4688</v>
      </c>
      <c r="C9" s="39">
        <f t="shared" si="0"/>
        <v>30</v>
      </c>
      <c r="F9" s="13">
        <v>300</v>
      </c>
      <c r="G9" s="15">
        <v>25</v>
      </c>
    </row>
    <row r="10" spans="1:7" x14ac:dyDescent="0.25">
      <c r="A10" s="10">
        <v>499</v>
      </c>
      <c r="B10" s="11">
        <v>5314</v>
      </c>
      <c r="C10" s="12">
        <f t="shared" si="0"/>
        <v>40</v>
      </c>
      <c r="F10" s="10">
        <v>350</v>
      </c>
      <c r="G10" s="12">
        <v>30</v>
      </c>
    </row>
    <row r="11" spans="1:7" x14ac:dyDescent="0.25">
      <c r="A11" s="13">
        <v>631</v>
      </c>
      <c r="B11" s="14">
        <v>4415</v>
      </c>
      <c r="C11" s="39">
        <f t="shared" si="0"/>
        <v>55</v>
      </c>
      <c r="F11" s="13">
        <v>400</v>
      </c>
      <c r="G11" s="15">
        <v>35</v>
      </c>
    </row>
    <row r="12" spans="1:7" x14ac:dyDescent="0.25">
      <c r="A12" s="10">
        <v>555</v>
      </c>
      <c r="B12" s="11">
        <v>3185</v>
      </c>
      <c r="C12" s="12">
        <f t="shared" si="0"/>
        <v>50</v>
      </c>
      <c r="F12" s="10">
        <v>450</v>
      </c>
      <c r="G12" s="12">
        <v>40</v>
      </c>
    </row>
    <row r="13" spans="1:7" x14ac:dyDescent="0.25">
      <c r="A13" s="16">
        <v>777</v>
      </c>
      <c r="B13" s="17">
        <v>6458</v>
      </c>
      <c r="C13" s="39">
        <f t="shared" si="0"/>
        <v>75</v>
      </c>
      <c r="F13" s="13">
        <v>500</v>
      </c>
      <c r="G13" s="15">
        <v>45</v>
      </c>
    </row>
    <row r="14" spans="1:7" x14ac:dyDescent="0.25">
      <c r="A14" s="22"/>
      <c r="B14" s="23"/>
      <c r="C14" s="12">
        <f>SUM(C4:C13)</f>
        <v>375</v>
      </c>
      <c r="F14" s="10">
        <v>550</v>
      </c>
      <c r="G14" s="12">
        <v>50</v>
      </c>
    </row>
    <row r="15" spans="1:7" x14ac:dyDescent="0.25">
      <c r="F15" s="13">
        <v>600</v>
      </c>
      <c r="G15" s="15">
        <v>55</v>
      </c>
    </row>
    <row r="16" spans="1:7" x14ac:dyDescent="0.25">
      <c r="F16" s="10">
        <v>650</v>
      </c>
      <c r="G16" s="12">
        <v>60</v>
      </c>
    </row>
    <row r="17" spans="6:7" x14ac:dyDescent="0.25">
      <c r="F17" s="16">
        <v>700</v>
      </c>
      <c r="G17" s="18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D87F-07F5-491A-8357-B2B867142D30}">
  <dimension ref="A1:N30"/>
  <sheetViews>
    <sheetView topLeftCell="A16" zoomScale="130" zoomScaleNormal="130" workbookViewId="0">
      <selection activeCell="D26" sqref="D26"/>
    </sheetView>
  </sheetViews>
  <sheetFormatPr defaultRowHeight="15.75" x14ac:dyDescent="0.25"/>
  <cols>
    <col min="2" max="2" width="21.75" customWidth="1"/>
    <col min="3" max="3" width="9.25" bestFit="1" customWidth="1"/>
    <col min="4" max="4" width="11.5" bestFit="1" customWidth="1"/>
    <col min="5" max="5" width="9.875" bestFit="1" customWidth="1"/>
    <col min="6" max="6" width="22.625" customWidth="1"/>
    <col min="9" max="9" width="14.875" bestFit="1" customWidth="1"/>
    <col min="10" max="10" width="12.75" customWidth="1"/>
    <col min="13" max="13" width="11.25" customWidth="1"/>
    <col min="14" max="14" width="10.75" customWidth="1"/>
  </cols>
  <sheetData>
    <row r="1" spans="1:14" x14ac:dyDescent="0.25">
      <c r="A1" s="20" t="s">
        <v>68</v>
      </c>
      <c r="B1" s="20" t="s">
        <v>71</v>
      </c>
      <c r="C1" s="20" t="s">
        <v>69</v>
      </c>
      <c r="D1" s="20" t="s">
        <v>141</v>
      </c>
      <c r="E1" s="20" t="s">
        <v>142</v>
      </c>
      <c r="F1" s="21" t="s">
        <v>148</v>
      </c>
      <c r="G1" s="20" t="s">
        <v>72</v>
      </c>
      <c r="H1" s="20" t="s">
        <v>73</v>
      </c>
      <c r="I1" s="20" t="s">
        <v>74</v>
      </c>
      <c r="J1" s="20" t="s">
        <v>75</v>
      </c>
      <c r="K1" s="20" t="s">
        <v>76</v>
      </c>
      <c r="L1" s="20" t="s">
        <v>77</v>
      </c>
      <c r="M1" s="20" t="s">
        <v>78</v>
      </c>
      <c r="N1" s="20" t="s">
        <v>79</v>
      </c>
    </row>
    <row r="2" spans="1:14" x14ac:dyDescent="0.25">
      <c r="A2" s="21">
        <v>1001</v>
      </c>
      <c r="B2" s="21" t="s">
        <v>144</v>
      </c>
      <c r="C2" s="21" t="s">
        <v>80</v>
      </c>
      <c r="D2" s="21" t="s">
        <v>145</v>
      </c>
      <c r="E2" s="21" t="s">
        <v>81</v>
      </c>
      <c r="F2" s="21" t="s">
        <v>147</v>
      </c>
      <c r="G2" s="21" t="s">
        <v>82</v>
      </c>
      <c r="H2" s="21" t="s">
        <v>83</v>
      </c>
      <c r="I2" s="21" t="s">
        <v>84</v>
      </c>
      <c r="J2" s="21">
        <v>7879177554</v>
      </c>
      <c r="K2" s="21">
        <v>101</v>
      </c>
      <c r="L2" s="21" t="s">
        <v>85</v>
      </c>
      <c r="M2" s="21">
        <v>36436</v>
      </c>
      <c r="N2" s="21">
        <v>53000</v>
      </c>
    </row>
    <row r="3" spans="1:14" x14ac:dyDescent="0.25">
      <c r="A3" s="21">
        <v>1002</v>
      </c>
      <c r="B3" s="21" t="s">
        <v>138</v>
      </c>
      <c r="C3" s="21" t="s">
        <v>86</v>
      </c>
      <c r="D3" s="21" t="s">
        <v>87</v>
      </c>
      <c r="E3" s="21"/>
      <c r="F3" s="21" t="s">
        <v>149</v>
      </c>
      <c r="G3" s="21" t="s">
        <v>88</v>
      </c>
      <c r="H3" s="21" t="s">
        <v>89</v>
      </c>
      <c r="I3" s="21" t="s">
        <v>90</v>
      </c>
      <c r="J3" s="21">
        <v>7972148585</v>
      </c>
      <c r="K3" s="21">
        <v>102</v>
      </c>
      <c r="L3" s="21" t="s">
        <v>91</v>
      </c>
      <c r="M3" s="21">
        <v>38334</v>
      </c>
      <c r="N3" s="21">
        <v>41000</v>
      </c>
    </row>
    <row r="4" spans="1:14" x14ac:dyDescent="0.25">
      <c r="A4" s="21">
        <v>1003</v>
      </c>
      <c r="B4" s="21" t="s">
        <v>139</v>
      </c>
      <c r="C4" s="21" t="s">
        <v>92</v>
      </c>
      <c r="D4" s="21" t="s">
        <v>93</v>
      </c>
      <c r="E4" s="21"/>
      <c r="F4" s="21" t="s">
        <v>150</v>
      </c>
      <c r="G4" s="21" t="s">
        <v>94</v>
      </c>
      <c r="H4" s="21" t="s">
        <v>95</v>
      </c>
      <c r="I4" s="21" t="s">
        <v>96</v>
      </c>
      <c r="J4" s="21">
        <v>7733556699</v>
      </c>
      <c r="K4" s="21">
        <v>103</v>
      </c>
      <c r="L4" s="21" t="s">
        <v>97</v>
      </c>
      <c r="M4" s="21">
        <v>35592</v>
      </c>
      <c r="N4" s="21">
        <v>37000</v>
      </c>
    </row>
    <row r="5" spans="1:14" x14ac:dyDescent="0.25">
      <c r="A5" s="21">
        <v>1004</v>
      </c>
      <c r="B5" s="21" t="s">
        <v>143</v>
      </c>
      <c r="C5" s="21" t="s">
        <v>98</v>
      </c>
      <c r="D5" s="21" t="s">
        <v>146</v>
      </c>
      <c r="E5" s="21" t="s">
        <v>99</v>
      </c>
      <c r="F5" s="21" t="s">
        <v>151</v>
      </c>
      <c r="G5" s="21" t="s">
        <v>100</v>
      </c>
      <c r="H5" s="21" t="s">
        <v>101</v>
      </c>
      <c r="I5" s="21" t="s">
        <v>102</v>
      </c>
      <c r="J5" s="21">
        <v>9977254546</v>
      </c>
      <c r="K5" s="21">
        <v>104</v>
      </c>
      <c r="L5" s="21" t="s">
        <v>103</v>
      </c>
      <c r="M5" s="21">
        <v>33324</v>
      </c>
      <c r="N5" s="21">
        <v>15000</v>
      </c>
    </row>
    <row r="6" spans="1:14" x14ac:dyDescent="0.25">
      <c r="A6" s="21">
        <v>1005</v>
      </c>
      <c r="B6" s="21" t="s">
        <v>140</v>
      </c>
      <c r="C6" s="21" t="s">
        <v>104</v>
      </c>
      <c r="D6" s="21" t="s">
        <v>105</v>
      </c>
      <c r="E6" s="21"/>
      <c r="F6" s="21" t="s">
        <v>152</v>
      </c>
      <c r="G6" s="21" t="s">
        <v>106</v>
      </c>
      <c r="H6" s="21" t="s">
        <v>83</v>
      </c>
      <c r="I6" s="21" t="s">
        <v>107</v>
      </c>
      <c r="J6" s="21">
        <v>9228845456</v>
      </c>
      <c r="K6" s="21">
        <v>105</v>
      </c>
      <c r="L6" s="21" t="s">
        <v>85</v>
      </c>
      <c r="M6" s="21">
        <v>31376</v>
      </c>
      <c r="N6" s="21">
        <v>51000</v>
      </c>
    </row>
    <row r="7" spans="1:14" x14ac:dyDescent="0.25">
      <c r="A7" s="21">
        <v>1006</v>
      </c>
      <c r="B7" s="21" t="s">
        <v>144</v>
      </c>
      <c r="C7" s="21" t="s">
        <v>80</v>
      </c>
      <c r="D7" s="21" t="s">
        <v>145</v>
      </c>
      <c r="E7" s="21" t="s">
        <v>81</v>
      </c>
      <c r="F7" s="21" t="s">
        <v>147</v>
      </c>
      <c r="G7" s="21" t="s">
        <v>82</v>
      </c>
      <c r="H7" s="21" t="s">
        <v>83</v>
      </c>
      <c r="I7" s="21" t="s">
        <v>84</v>
      </c>
      <c r="J7" s="21">
        <v>7879177554</v>
      </c>
      <c r="K7" s="21">
        <v>101</v>
      </c>
      <c r="L7" s="21" t="s">
        <v>85</v>
      </c>
      <c r="M7" s="21">
        <v>36436</v>
      </c>
      <c r="N7" s="21">
        <v>53000</v>
      </c>
    </row>
    <row r="8" spans="1:14" x14ac:dyDescent="0.25">
      <c r="A8" s="21">
        <v>1007</v>
      </c>
      <c r="B8" s="21" t="s">
        <v>138</v>
      </c>
      <c r="C8" s="21" t="s">
        <v>86</v>
      </c>
      <c r="D8" s="21" t="s">
        <v>87</v>
      </c>
      <c r="E8" s="21"/>
      <c r="F8" s="21" t="s">
        <v>149</v>
      </c>
      <c r="G8" s="21" t="s">
        <v>88</v>
      </c>
      <c r="H8" s="21" t="s">
        <v>89</v>
      </c>
      <c r="I8" s="21" t="s">
        <v>90</v>
      </c>
      <c r="J8" s="21">
        <v>7972148585</v>
      </c>
      <c r="K8" s="21">
        <v>102</v>
      </c>
      <c r="L8" s="21" t="s">
        <v>91</v>
      </c>
      <c r="M8" s="21">
        <v>38334</v>
      </c>
      <c r="N8" s="21">
        <v>41000</v>
      </c>
    </row>
    <row r="9" spans="1:14" x14ac:dyDescent="0.25">
      <c r="A9" s="21">
        <v>1008</v>
      </c>
      <c r="B9" s="21" t="s">
        <v>139</v>
      </c>
      <c r="C9" s="21" t="s">
        <v>92</v>
      </c>
      <c r="D9" s="21" t="s">
        <v>93</v>
      </c>
      <c r="E9" s="21"/>
      <c r="F9" s="21" t="s">
        <v>150</v>
      </c>
      <c r="G9" s="21" t="s">
        <v>94</v>
      </c>
      <c r="H9" s="21" t="s">
        <v>95</v>
      </c>
      <c r="I9" s="21" t="s">
        <v>96</v>
      </c>
      <c r="J9" s="21">
        <v>7733556699</v>
      </c>
      <c r="K9" s="21">
        <v>103</v>
      </c>
      <c r="L9" s="21" t="s">
        <v>97</v>
      </c>
      <c r="M9" s="21">
        <v>35592</v>
      </c>
      <c r="N9" s="21">
        <v>37000</v>
      </c>
    </row>
    <row r="10" spans="1:14" x14ac:dyDescent="0.25">
      <c r="A10" s="21">
        <v>1009</v>
      </c>
      <c r="B10" s="21" t="s">
        <v>143</v>
      </c>
      <c r="C10" s="21" t="s">
        <v>98</v>
      </c>
      <c r="D10" s="21" t="s">
        <v>146</v>
      </c>
      <c r="E10" s="21" t="s">
        <v>99</v>
      </c>
      <c r="F10" s="21" t="s">
        <v>151</v>
      </c>
      <c r="G10" s="21" t="s">
        <v>100</v>
      </c>
      <c r="H10" s="21" t="s">
        <v>101</v>
      </c>
      <c r="I10" s="21" t="s">
        <v>102</v>
      </c>
      <c r="J10" s="21">
        <v>9977254546</v>
      </c>
      <c r="K10" s="21">
        <v>104</v>
      </c>
      <c r="L10" s="21" t="s">
        <v>103</v>
      </c>
      <c r="M10" s="21">
        <v>33324</v>
      </c>
      <c r="N10" s="21">
        <v>15000</v>
      </c>
    </row>
    <row r="11" spans="1:14" x14ac:dyDescent="0.25">
      <c r="A11" s="21">
        <v>1010</v>
      </c>
      <c r="B11" s="21" t="s">
        <v>140</v>
      </c>
      <c r="C11" s="21" t="s">
        <v>104</v>
      </c>
      <c r="D11" s="21" t="s">
        <v>105</v>
      </c>
      <c r="E11" s="21"/>
      <c r="F11" s="21" t="s">
        <v>152</v>
      </c>
      <c r="G11" s="21" t="s">
        <v>106</v>
      </c>
      <c r="H11" s="21" t="s">
        <v>83</v>
      </c>
      <c r="I11" s="21" t="s">
        <v>107</v>
      </c>
      <c r="J11" s="21">
        <v>9228845456</v>
      </c>
      <c r="K11" s="21">
        <v>105</v>
      </c>
      <c r="L11" s="21" t="s">
        <v>85</v>
      </c>
      <c r="M11" s="21">
        <v>31376</v>
      </c>
      <c r="N11" s="21">
        <v>51000</v>
      </c>
    </row>
    <row r="12" spans="1:14" x14ac:dyDescent="0.25">
      <c r="A12" s="21">
        <v>1011</v>
      </c>
      <c r="B12" s="21" t="s">
        <v>144</v>
      </c>
      <c r="C12" s="21" t="s">
        <v>80</v>
      </c>
      <c r="D12" s="21" t="s">
        <v>145</v>
      </c>
      <c r="E12" s="21" t="s">
        <v>81</v>
      </c>
      <c r="F12" s="21" t="s">
        <v>147</v>
      </c>
      <c r="G12" s="21" t="s">
        <v>82</v>
      </c>
      <c r="H12" s="21" t="s">
        <v>83</v>
      </c>
      <c r="I12" s="21" t="s">
        <v>84</v>
      </c>
      <c r="J12" s="21">
        <v>7879177554</v>
      </c>
      <c r="K12" s="21">
        <v>101</v>
      </c>
      <c r="L12" s="21" t="s">
        <v>85</v>
      </c>
      <c r="M12" s="21">
        <v>36436</v>
      </c>
      <c r="N12" s="21">
        <v>53000</v>
      </c>
    </row>
    <row r="13" spans="1:14" x14ac:dyDescent="0.25">
      <c r="A13" s="21">
        <v>1012</v>
      </c>
      <c r="B13" s="21" t="s">
        <v>138</v>
      </c>
      <c r="C13" s="21" t="s">
        <v>86</v>
      </c>
      <c r="D13" s="21" t="s">
        <v>87</v>
      </c>
      <c r="E13" s="21"/>
      <c r="F13" s="21" t="s">
        <v>149</v>
      </c>
      <c r="G13" s="21" t="s">
        <v>88</v>
      </c>
      <c r="H13" s="21" t="s">
        <v>89</v>
      </c>
      <c r="I13" s="21" t="s">
        <v>90</v>
      </c>
      <c r="J13" s="21">
        <v>7972148585</v>
      </c>
      <c r="K13" s="21">
        <v>102</v>
      </c>
      <c r="L13" s="21" t="s">
        <v>91</v>
      </c>
      <c r="M13" s="21">
        <v>38334</v>
      </c>
      <c r="N13" s="21">
        <v>41000</v>
      </c>
    </row>
    <row r="14" spans="1:14" x14ac:dyDescent="0.25">
      <c r="A14" s="21">
        <v>1013</v>
      </c>
      <c r="B14" s="21" t="s">
        <v>139</v>
      </c>
      <c r="C14" s="21" t="s">
        <v>92</v>
      </c>
      <c r="D14" s="21" t="s">
        <v>93</v>
      </c>
      <c r="E14" s="21"/>
      <c r="F14" s="21" t="s">
        <v>150</v>
      </c>
      <c r="G14" s="21" t="s">
        <v>94</v>
      </c>
      <c r="H14" s="21" t="s">
        <v>95</v>
      </c>
      <c r="I14" s="21" t="s">
        <v>96</v>
      </c>
      <c r="J14" s="21">
        <v>7733556699</v>
      </c>
      <c r="K14" s="21">
        <v>103</v>
      </c>
      <c r="L14" s="21" t="s">
        <v>97</v>
      </c>
      <c r="M14" s="21">
        <v>35592</v>
      </c>
      <c r="N14" s="21">
        <v>37000</v>
      </c>
    </row>
    <row r="15" spans="1:14" x14ac:dyDescent="0.25">
      <c r="A15" s="21">
        <v>1014</v>
      </c>
      <c r="B15" s="21" t="s">
        <v>143</v>
      </c>
      <c r="C15" s="21" t="s">
        <v>98</v>
      </c>
      <c r="D15" s="21" t="s">
        <v>146</v>
      </c>
      <c r="E15" s="21" t="s">
        <v>99</v>
      </c>
      <c r="F15" s="21" t="s">
        <v>151</v>
      </c>
      <c r="G15" s="21" t="s">
        <v>100</v>
      </c>
      <c r="H15" s="21" t="s">
        <v>101</v>
      </c>
      <c r="I15" s="21" t="s">
        <v>102</v>
      </c>
      <c r="J15" s="21">
        <v>9977254546</v>
      </c>
      <c r="K15" s="21">
        <v>104</v>
      </c>
      <c r="L15" s="21" t="s">
        <v>103</v>
      </c>
      <c r="M15" s="21">
        <v>33324</v>
      </c>
      <c r="N15" s="21">
        <v>15000</v>
      </c>
    </row>
    <row r="16" spans="1:14" x14ac:dyDescent="0.25">
      <c r="A16" s="21">
        <v>1015</v>
      </c>
      <c r="B16" s="21" t="s">
        <v>140</v>
      </c>
      <c r="C16" s="21" t="s">
        <v>104</v>
      </c>
      <c r="D16" s="21" t="s">
        <v>105</v>
      </c>
      <c r="E16" s="21"/>
      <c r="F16" s="21" t="s">
        <v>152</v>
      </c>
      <c r="G16" s="21" t="s">
        <v>106</v>
      </c>
      <c r="H16" s="21" t="s">
        <v>83</v>
      </c>
      <c r="I16" s="21" t="s">
        <v>107</v>
      </c>
      <c r="J16" s="21">
        <v>9228845456</v>
      </c>
      <c r="K16" s="21">
        <v>105</v>
      </c>
      <c r="L16" s="21" t="s">
        <v>85</v>
      </c>
      <c r="M16" s="21">
        <v>31376</v>
      </c>
      <c r="N16" s="21">
        <v>51000</v>
      </c>
    </row>
    <row r="17" spans="1:14" x14ac:dyDescent="0.25">
      <c r="A17" s="21">
        <v>1016</v>
      </c>
      <c r="B17" s="21" t="s">
        <v>144</v>
      </c>
      <c r="C17" s="21" t="s">
        <v>80</v>
      </c>
      <c r="D17" s="21" t="s">
        <v>145</v>
      </c>
      <c r="E17" s="21" t="s">
        <v>81</v>
      </c>
      <c r="F17" s="21" t="s">
        <v>147</v>
      </c>
      <c r="G17" s="21" t="s">
        <v>82</v>
      </c>
      <c r="H17" s="21" t="s">
        <v>83</v>
      </c>
      <c r="I17" s="21" t="s">
        <v>84</v>
      </c>
      <c r="J17" s="21">
        <v>7879177554</v>
      </c>
      <c r="K17" s="21">
        <v>101</v>
      </c>
      <c r="L17" s="21" t="s">
        <v>85</v>
      </c>
      <c r="M17" s="21">
        <v>36436</v>
      </c>
      <c r="N17" s="21">
        <v>53000</v>
      </c>
    </row>
    <row r="18" spans="1:14" x14ac:dyDescent="0.25">
      <c r="A18" s="21">
        <v>1017</v>
      </c>
      <c r="B18" s="21" t="s">
        <v>138</v>
      </c>
      <c r="C18" s="21" t="s">
        <v>86</v>
      </c>
      <c r="D18" s="21" t="s">
        <v>87</v>
      </c>
      <c r="E18" s="21"/>
      <c r="F18" s="21" t="s">
        <v>149</v>
      </c>
      <c r="G18" s="21" t="s">
        <v>88</v>
      </c>
      <c r="H18" s="21" t="s">
        <v>89</v>
      </c>
      <c r="I18" s="21" t="s">
        <v>90</v>
      </c>
      <c r="J18" s="21">
        <v>7972148585</v>
      </c>
      <c r="K18" s="21">
        <v>102</v>
      </c>
      <c r="L18" s="21" t="s">
        <v>91</v>
      </c>
      <c r="M18" s="21">
        <v>38334</v>
      </c>
      <c r="N18" s="21">
        <v>41000</v>
      </c>
    </row>
    <row r="19" spans="1:14" x14ac:dyDescent="0.25">
      <c r="A19" s="21">
        <v>1018</v>
      </c>
      <c r="B19" s="21" t="s">
        <v>139</v>
      </c>
      <c r="C19" s="21" t="s">
        <v>92</v>
      </c>
      <c r="D19" s="21" t="s">
        <v>93</v>
      </c>
      <c r="E19" s="21"/>
      <c r="F19" s="21" t="s">
        <v>150</v>
      </c>
      <c r="G19" s="21" t="s">
        <v>94</v>
      </c>
      <c r="H19" s="21" t="s">
        <v>95</v>
      </c>
      <c r="I19" s="21" t="s">
        <v>96</v>
      </c>
      <c r="J19" s="21">
        <v>7733556699</v>
      </c>
      <c r="K19" s="21">
        <v>103</v>
      </c>
      <c r="L19" s="21" t="s">
        <v>97</v>
      </c>
      <c r="M19" s="21">
        <v>35592</v>
      </c>
      <c r="N19" s="21">
        <v>37000</v>
      </c>
    </row>
    <row r="20" spans="1:14" x14ac:dyDescent="0.25">
      <c r="A20" s="21">
        <v>1019</v>
      </c>
      <c r="B20" s="21" t="s">
        <v>143</v>
      </c>
      <c r="C20" s="21" t="s">
        <v>98</v>
      </c>
      <c r="D20" s="21" t="s">
        <v>146</v>
      </c>
      <c r="E20" s="21" t="s">
        <v>99</v>
      </c>
      <c r="F20" s="21" t="s">
        <v>151</v>
      </c>
      <c r="G20" s="21" t="s">
        <v>100</v>
      </c>
      <c r="H20" s="21" t="s">
        <v>101</v>
      </c>
      <c r="I20" s="21" t="s">
        <v>102</v>
      </c>
      <c r="J20" s="21">
        <v>9977254546</v>
      </c>
      <c r="K20" s="21">
        <v>104</v>
      </c>
      <c r="L20" s="21" t="s">
        <v>103</v>
      </c>
      <c r="M20" s="21">
        <v>33324</v>
      </c>
      <c r="N20" s="21">
        <v>15000</v>
      </c>
    </row>
    <row r="21" spans="1:14" x14ac:dyDescent="0.25">
      <c r="A21" s="21">
        <v>1020</v>
      </c>
      <c r="B21" s="21" t="s">
        <v>140</v>
      </c>
      <c r="C21" s="21" t="s">
        <v>104</v>
      </c>
      <c r="D21" s="21" t="s">
        <v>105</v>
      </c>
      <c r="E21" s="21"/>
      <c r="F21" s="21" t="s">
        <v>152</v>
      </c>
      <c r="G21" s="21" t="s">
        <v>106</v>
      </c>
      <c r="H21" s="21" t="s">
        <v>83</v>
      </c>
      <c r="I21" s="21" t="s">
        <v>107</v>
      </c>
      <c r="J21" s="21">
        <v>9228845456</v>
      </c>
      <c r="K21" s="21">
        <v>105</v>
      </c>
      <c r="L21" s="21" t="s">
        <v>85</v>
      </c>
      <c r="M21" s="21">
        <v>31376</v>
      </c>
      <c r="N21" s="21">
        <v>51000</v>
      </c>
    </row>
    <row r="25" spans="1:14" x14ac:dyDescent="0.25">
      <c r="B25" t="s">
        <v>138</v>
      </c>
      <c r="C25" t="str">
        <f>VLOOKUP(B25,B2:F21,5,FALSE)</f>
        <v>JS, North</v>
      </c>
      <c r="D25" t="str">
        <f>VLOOKUP(B25,B2:G21,6,FALSE)</f>
        <v>ST</v>
      </c>
    </row>
    <row r="29" spans="1:14" x14ac:dyDescent="0.25">
      <c r="B29" s="40" t="s">
        <v>174</v>
      </c>
    </row>
    <row r="30" spans="1:14" x14ac:dyDescent="0.25">
      <c r="B30" s="41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409B-FE1D-43BB-9BBD-0FDF57830255}">
  <dimension ref="A1:L29"/>
  <sheetViews>
    <sheetView topLeftCell="A19" zoomScale="130" zoomScaleNormal="130" workbookViewId="0">
      <selection activeCell="D2" sqref="D2:E22"/>
    </sheetView>
  </sheetViews>
  <sheetFormatPr defaultRowHeight="15.75" x14ac:dyDescent="0.25"/>
  <cols>
    <col min="2" max="2" width="11.875" customWidth="1"/>
    <col min="3" max="3" width="12.25" customWidth="1"/>
    <col min="4" max="4" width="20.5" customWidth="1"/>
    <col min="6" max="6" width="11.5" bestFit="1" customWidth="1"/>
    <col min="7" max="7" width="14.875" bestFit="1" customWidth="1"/>
    <col min="8" max="8" width="12" customWidth="1"/>
    <col min="11" max="11" width="10.375" bestFit="1" customWidth="1"/>
    <col min="12" max="12" width="10.625" customWidth="1"/>
  </cols>
  <sheetData>
    <row r="1" spans="1:12" x14ac:dyDescent="0.25">
      <c r="A1" s="24" t="s">
        <v>68</v>
      </c>
      <c r="B1" s="24" t="s">
        <v>69</v>
      </c>
      <c r="C1" s="24" t="s">
        <v>70</v>
      </c>
      <c r="D1" s="24" t="s">
        <v>108</v>
      </c>
      <c r="E1" s="24" t="s">
        <v>72</v>
      </c>
      <c r="F1" s="24" t="s">
        <v>73</v>
      </c>
      <c r="G1" s="24" t="s">
        <v>74</v>
      </c>
      <c r="H1" s="24" t="s">
        <v>75</v>
      </c>
      <c r="I1" s="24" t="s">
        <v>76</v>
      </c>
      <c r="J1" s="24" t="s">
        <v>77</v>
      </c>
      <c r="K1" s="24" t="s">
        <v>78</v>
      </c>
      <c r="L1" s="24" t="s">
        <v>79</v>
      </c>
    </row>
    <row r="2" spans="1:12" x14ac:dyDescent="0.25">
      <c r="A2" s="21">
        <v>1001</v>
      </c>
      <c r="B2" s="21" t="s">
        <v>80</v>
      </c>
      <c r="C2" s="21" t="s">
        <v>81</v>
      </c>
      <c r="D2" s="21" t="s">
        <v>153</v>
      </c>
      <c r="E2" s="21" t="s">
        <v>82</v>
      </c>
      <c r="F2" s="21" t="s">
        <v>83</v>
      </c>
      <c r="G2" s="21" t="s">
        <v>84</v>
      </c>
      <c r="H2" s="21">
        <v>7879177554</v>
      </c>
      <c r="I2" s="21">
        <v>101</v>
      </c>
      <c r="J2" s="21" t="s">
        <v>85</v>
      </c>
      <c r="K2" s="21">
        <v>36436</v>
      </c>
      <c r="L2" s="25">
        <v>53000</v>
      </c>
    </row>
    <row r="3" spans="1:12" x14ac:dyDescent="0.25">
      <c r="A3" s="21">
        <v>1002</v>
      </c>
      <c r="B3" s="21" t="s">
        <v>86</v>
      </c>
      <c r="C3" s="21" t="s">
        <v>87</v>
      </c>
      <c r="D3" s="21" t="s">
        <v>154</v>
      </c>
      <c r="E3" s="21" t="s">
        <v>88</v>
      </c>
      <c r="F3" s="21" t="s">
        <v>89</v>
      </c>
      <c r="G3" s="21" t="s">
        <v>90</v>
      </c>
      <c r="H3" s="21">
        <v>7972148585</v>
      </c>
      <c r="I3" s="21">
        <v>102</v>
      </c>
      <c r="J3" s="21" t="s">
        <v>91</v>
      </c>
      <c r="K3" s="21">
        <v>38334</v>
      </c>
      <c r="L3" s="25">
        <v>41000</v>
      </c>
    </row>
    <row r="4" spans="1:12" x14ac:dyDescent="0.25">
      <c r="A4" s="21">
        <v>1003</v>
      </c>
      <c r="B4" s="21" t="s">
        <v>92</v>
      </c>
      <c r="C4" s="21" t="s">
        <v>93</v>
      </c>
      <c r="D4" s="21" t="s">
        <v>155</v>
      </c>
      <c r="E4" s="21" t="s">
        <v>94</v>
      </c>
      <c r="F4" s="21" t="s">
        <v>95</v>
      </c>
      <c r="G4" s="21" t="s">
        <v>96</v>
      </c>
      <c r="H4" s="21">
        <v>7733556699</v>
      </c>
      <c r="I4" s="21">
        <v>103</v>
      </c>
      <c r="J4" s="21" t="s">
        <v>97</v>
      </c>
      <c r="K4" s="21">
        <v>35592</v>
      </c>
      <c r="L4" s="25">
        <v>37000</v>
      </c>
    </row>
    <row r="5" spans="1:12" x14ac:dyDescent="0.25">
      <c r="A5" s="21">
        <v>1004</v>
      </c>
      <c r="B5" s="21" t="s">
        <v>98</v>
      </c>
      <c r="C5" s="21" t="s">
        <v>99</v>
      </c>
      <c r="D5" s="21" t="s">
        <v>156</v>
      </c>
      <c r="E5" s="21" t="s">
        <v>100</v>
      </c>
      <c r="F5" s="21" t="s">
        <v>101</v>
      </c>
      <c r="G5" s="21" t="s">
        <v>102</v>
      </c>
      <c r="H5" s="21">
        <v>9977254546</v>
      </c>
      <c r="I5" s="21">
        <v>104</v>
      </c>
      <c r="J5" s="21" t="s">
        <v>103</v>
      </c>
      <c r="K5" s="21">
        <v>33324</v>
      </c>
      <c r="L5" s="25">
        <v>15000</v>
      </c>
    </row>
    <row r="6" spans="1:12" x14ac:dyDescent="0.25">
      <c r="A6" s="21">
        <v>1005</v>
      </c>
      <c r="B6" s="21" t="s">
        <v>104</v>
      </c>
      <c r="C6" s="21" t="s">
        <v>105</v>
      </c>
      <c r="D6" s="21" t="s">
        <v>157</v>
      </c>
      <c r="E6" s="21" t="s">
        <v>106</v>
      </c>
      <c r="F6" s="21" t="s">
        <v>83</v>
      </c>
      <c r="G6" s="21" t="s">
        <v>107</v>
      </c>
      <c r="H6" s="21">
        <v>9228845456</v>
      </c>
      <c r="I6" s="21">
        <v>105</v>
      </c>
      <c r="J6" s="21" t="s">
        <v>85</v>
      </c>
      <c r="K6" s="21">
        <v>31376</v>
      </c>
      <c r="L6" s="25">
        <v>51000</v>
      </c>
    </row>
    <row r="7" spans="1:12" x14ac:dyDescent="0.25">
      <c r="A7" s="21">
        <v>1006</v>
      </c>
      <c r="B7" s="21" t="s">
        <v>109</v>
      </c>
      <c r="C7" s="21" t="s">
        <v>110</v>
      </c>
      <c r="D7" s="21" t="s">
        <v>158</v>
      </c>
      <c r="E7" s="21" t="s">
        <v>82</v>
      </c>
      <c r="F7" s="21" t="s">
        <v>83</v>
      </c>
      <c r="G7" s="21" t="s">
        <v>84</v>
      </c>
      <c r="H7" s="21">
        <v>7879177554</v>
      </c>
      <c r="I7" s="21">
        <v>101</v>
      </c>
      <c r="J7" s="21" t="s">
        <v>85</v>
      </c>
      <c r="K7" s="21">
        <v>36436</v>
      </c>
      <c r="L7" s="25">
        <v>53000</v>
      </c>
    </row>
    <row r="8" spans="1:12" x14ac:dyDescent="0.25">
      <c r="A8" s="21">
        <v>1007</v>
      </c>
      <c r="B8" s="21" t="s">
        <v>111</v>
      </c>
      <c r="C8" s="21" t="s">
        <v>112</v>
      </c>
      <c r="D8" s="21" t="s">
        <v>159</v>
      </c>
      <c r="E8" s="21" t="s">
        <v>88</v>
      </c>
      <c r="F8" s="21" t="s">
        <v>89</v>
      </c>
      <c r="G8" s="21" t="s">
        <v>90</v>
      </c>
      <c r="H8" s="21">
        <v>7972148585</v>
      </c>
      <c r="I8" s="21">
        <v>102</v>
      </c>
      <c r="J8" s="21" t="s">
        <v>91</v>
      </c>
      <c r="K8" s="21">
        <v>38334</v>
      </c>
      <c r="L8" s="25">
        <v>41000</v>
      </c>
    </row>
    <row r="9" spans="1:12" x14ac:dyDescent="0.25">
      <c r="A9" s="21">
        <v>1008</v>
      </c>
      <c r="B9" s="21" t="s">
        <v>113</v>
      </c>
      <c r="C9" s="21" t="s">
        <v>87</v>
      </c>
      <c r="D9" s="21" t="s">
        <v>160</v>
      </c>
      <c r="E9" s="21" t="s">
        <v>94</v>
      </c>
      <c r="F9" s="21" t="s">
        <v>95</v>
      </c>
      <c r="G9" s="21" t="s">
        <v>96</v>
      </c>
      <c r="H9" s="21">
        <v>7733556699</v>
      </c>
      <c r="I9" s="21">
        <v>103</v>
      </c>
      <c r="J9" s="21" t="s">
        <v>97</v>
      </c>
      <c r="K9" s="21">
        <v>35592</v>
      </c>
      <c r="L9" s="25">
        <v>37000</v>
      </c>
    </row>
    <row r="10" spans="1:12" x14ac:dyDescent="0.25">
      <c r="A10" s="21">
        <v>1009</v>
      </c>
      <c r="B10" s="21" t="s">
        <v>114</v>
      </c>
      <c r="C10" s="21" t="s">
        <v>115</v>
      </c>
      <c r="D10" s="21" t="s">
        <v>161</v>
      </c>
      <c r="E10" s="21" t="s">
        <v>100</v>
      </c>
      <c r="F10" s="21" t="s">
        <v>101</v>
      </c>
      <c r="G10" s="21" t="s">
        <v>102</v>
      </c>
      <c r="H10" s="21">
        <v>9977254546</v>
      </c>
      <c r="I10" s="21">
        <v>104</v>
      </c>
      <c r="J10" s="21" t="s">
        <v>103</v>
      </c>
      <c r="K10" s="21">
        <v>33324</v>
      </c>
      <c r="L10" s="25">
        <v>15000</v>
      </c>
    </row>
    <row r="11" spans="1:12" x14ac:dyDescent="0.25">
      <c r="A11" s="21">
        <v>1010</v>
      </c>
      <c r="B11" s="21" t="s">
        <v>116</v>
      </c>
      <c r="C11" s="21" t="s">
        <v>117</v>
      </c>
      <c r="D11" s="21" t="s">
        <v>162</v>
      </c>
      <c r="E11" s="21" t="s">
        <v>106</v>
      </c>
      <c r="F11" s="21" t="s">
        <v>83</v>
      </c>
      <c r="G11" s="21" t="s">
        <v>107</v>
      </c>
      <c r="H11" s="21">
        <v>9228845456</v>
      </c>
      <c r="I11" s="21">
        <v>105</v>
      </c>
      <c r="J11" s="21" t="s">
        <v>85</v>
      </c>
      <c r="K11" s="21">
        <v>31376</v>
      </c>
      <c r="L11" s="25">
        <v>51000</v>
      </c>
    </row>
    <row r="12" spans="1:12" x14ac:dyDescent="0.25">
      <c r="A12" s="21">
        <v>1011</v>
      </c>
      <c r="B12" s="21" t="s">
        <v>118</v>
      </c>
      <c r="C12" s="21" t="s">
        <v>119</v>
      </c>
      <c r="D12" s="21" t="s">
        <v>163</v>
      </c>
      <c r="E12" s="21" t="s">
        <v>82</v>
      </c>
      <c r="F12" s="21" t="s">
        <v>83</v>
      </c>
      <c r="G12" s="21" t="s">
        <v>84</v>
      </c>
      <c r="H12" s="21">
        <v>7879177554</v>
      </c>
      <c r="I12" s="21">
        <v>101</v>
      </c>
      <c r="J12" s="21" t="s">
        <v>85</v>
      </c>
      <c r="K12" s="21">
        <v>36436</v>
      </c>
      <c r="L12" s="25">
        <v>53000</v>
      </c>
    </row>
    <row r="13" spans="1:12" x14ac:dyDescent="0.25">
      <c r="A13" s="21">
        <v>1012</v>
      </c>
      <c r="B13" s="21" t="s">
        <v>120</v>
      </c>
      <c r="C13" s="21" t="s">
        <v>121</v>
      </c>
      <c r="D13" s="21" t="s">
        <v>164</v>
      </c>
      <c r="E13" s="21" t="s">
        <v>88</v>
      </c>
      <c r="F13" s="21" t="s">
        <v>89</v>
      </c>
      <c r="G13" s="21" t="s">
        <v>90</v>
      </c>
      <c r="H13" s="21">
        <v>7972148585</v>
      </c>
      <c r="I13" s="21">
        <v>102</v>
      </c>
      <c r="J13" s="21" t="s">
        <v>91</v>
      </c>
      <c r="K13" s="21">
        <v>38334</v>
      </c>
      <c r="L13" s="25">
        <v>41000</v>
      </c>
    </row>
    <row r="14" spans="1:12" x14ac:dyDescent="0.25">
      <c r="A14" s="21">
        <v>1013</v>
      </c>
      <c r="B14" s="21" t="s">
        <v>122</v>
      </c>
      <c r="C14" s="21" t="s">
        <v>123</v>
      </c>
      <c r="D14" s="21" t="s">
        <v>165</v>
      </c>
      <c r="E14" s="21" t="s">
        <v>94</v>
      </c>
      <c r="F14" s="21" t="s">
        <v>95</v>
      </c>
      <c r="G14" s="21" t="s">
        <v>96</v>
      </c>
      <c r="H14" s="21">
        <v>7733556699</v>
      </c>
      <c r="I14" s="21">
        <v>103</v>
      </c>
      <c r="J14" s="21" t="s">
        <v>97</v>
      </c>
      <c r="K14" s="21">
        <v>35592</v>
      </c>
      <c r="L14" s="25">
        <v>37000</v>
      </c>
    </row>
    <row r="15" spans="1:12" x14ac:dyDescent="0.25">
      <c r="A15" s="21">
        <v>1014</v>
      </c>
      <c r="B15" s="21" t="s">
        <v>124</v>
      </c>
      <c r="C15" s="21" t="s">
        <v>105</v>
      </c>
      <c r="D15" s="21" t="s">
        <v>166</v>
      </c>
      <c r="E15" s="21" t="s">
        <v>100</v>
      </c>
      <c r="F15" s="21" t="s">
        <v>101</v>
      </c>
      <c r="G15" s="21" t="s">
        <v>102</v>
      </c>
      <c r="H15" s="21">
        <v>9977254546</v>
      </c>
      <c r="I15" s="21">
        <v>104</v>
      </c>
      <c r="J15" s="21" t="s">
        <v>103</v>
      </c>
      <c r="K15" s="21">
        <v>33324</v>
      </c>
      <c r="L15" s="25">
        <v>15000</v>
      </c>
    </row>
    <row r="16" spans="1:12" x14ac:dyDescent="0.25">
      <c r="A16" s="21">
        <v>1015</v>
      </c>
      <c r="B16" s="21" t="s">
        <v>125</v>
      </c>
      <c r="C16" s="21" t="s">
        <v>126</v>
      </c>
      <c r="D16" s="21" t="s">
        <v>167</v>
      </c>
      <c r="E16" s="21" t="s">
        <v>106</v>
      </c>
      <c r="F16" s="21" t="s">
        <v>83</v>
      </c>
      <c r="G16" s="21" t="s">
        <v>107</v>
      </c>
      <c r="H16" s="21">
        <v>9228845456</v>
      </c>
      <c r="I16" s="21">
        <v>105</v>
      </c>
      <c r="J16" s="21" t="s">
        <v>85</v>
      </c>
      <c r="K16" s="21">
        <v>31376</v>
      </c>
      <c r="L16" s="25">
        <v>51000</v>
      </c>
    </row>
    <row r="17" spans="1:12" x14ac:dyDescent="0.25">
      <c r="A17" s="21">
        <v>1016</v>
      </c>
      <c r="B17" s="21" t="s">
        <v>127</v>
      </c>
      <c r="C17" s="21" t="s">
        <v>128</v>
      </c>
      <c r="D17" s="21" t="s">
        <v>168</v>
      </c>
      <c r="E17" s="21" t="s">
        <v>82</v>
      </c>
      <c r="F17" s="21" t="s">
        <v>83</v>
      </c>
      <c r="G17" s="21" t="s">
        <v>84</v>
      </c>
      <c r="H17" s="21">
        <v>7879177554</v>
      </c>
      <c r="I17" s="21">
        <v>101</v>
      </c>
      <c r="J17" s="21" t="s">
        <v>85</v>
      </c>
      <c r="K17" s="21">
        <v>36436</v>
      </c>
      <c r="L17" s="25">
        <v>53000</v>
      </c>
    </row>
    <row r="18" spans="1:12" x14ac:dyDescent="0.25">
      <c r="A18" s="21">
        <v>1017</v>
      </c>
      <c r="B18" s="21" t="s">
        <v>129</v>
      </c>
      <c r="C18" s="21" t="s">
        <v>130</v>
      </c>
      <c r="D18" s="21" t="s">
        <v>169</v>
      </c>
      <c r="E18" s="21" t="s">
        <v>88</v>
      </c>
      <c r="F18" s="21" t="s">
        <v>89</v>
      </c>
      <c r="G18" s="21" t="s">
        <v>90</v>
      </c>
      <c r="H18" s="21">
        <v>7972148585</v>
      </c>
      <c r="I18" s="21">
        <v>102</v>
      </c>
      <c r="J18" s="21" t="s">
        <v>91</v>
      </c>
      <c r="K18" s="21">
        <v>38334</v>
      </c>
      <c r="L18" s="25">
        <v>41000</v>
      </c>
    </row>
    <row r="19" spans="1:12" x14ac:dyDescent="0.25">
      <c r="A19" s="21">
        <v>1018</v>
      </c>
      <c r="B19" s="21" t="s">
        <v>131</v>
      </c>
      <c r="C19" s="21" t="s">
        <v>93</v>
      </c>
      <c r="D19" s="21" t="s">
        <v>170</v>
      </c>
      <c r="E19" s="21" t="s">
        <v>94</v>
      </c>
      <c r="F19" s="21" t="s">
        <v>95</v>
      </c>
      <c r="G19" s="21" t="s">
        <v>96</v>
      </c>
      <c r="H19" s="21">
        <v>7733556699</v>
      </c>
      <c r="I19" s="21">
        <v>103</v>
      </c>
      <c r="J19" s="21" t="s">
        <v>97</v>
      </c>
      <c r="K19" s="21">
        <v>35592</v>
      </c>
      <c r="L19" s="25">
        <v>37000</v>
      </c>
    </row>
    <row r="20" spans="1:12" x14ac:dyDescent="0.25">
      <c r="A20" s="21">
        <v>1019</v>
      </c>
      <c r="B20" s="21" t="s">
        <v>132</v>
      </c>
      <c r="C20" s="21" t="s">
        <v>133</v>
      </c>
      <c r="D20" s="21" t="s">
        <v>171</v>
      </c>
      <c r="E20" s="21" t="s">
        <v>100</v>
      </c>
      <c r="F20" s="21" t="s">
        <v>101</v>
      </c>
      <c r="G20" s="21" t="s">
        <v>102</v>
      </c>
      <c r="H20" s="21">
        <v>9977254546</v>
      </c>
      <c r="I20" s="21">
        <v>104</v>
      </c>
      <c r="J20" s="21" t="s">
        <v>103</v>
      </c>
      <c r="K20" s="21">
        <v>33324</v>
      </c>
      <c r="L20" s="25">
        <v>15000</v>
      </c>
    </row>
    <row r="21" spans="1:12" x14ac:dyDescent="0.25">
      <c r="A21" s="21">
        <v>1020</v>
      </c>
      <c r="B21" s="21" t="s">
        <v>134</v>
      </c>
      <c r="C21" s="21" t="s">
        <v>135</v>
      </c>
      <c r="D21" s="21" t="s">
        <v>172</v>
      </c>
      <c r="E21" s="21" t="s">
        <v>106</v>
      </c>
      <c r="F21" s="21" t="s">
        <v>83</v>
      </c>
      <c r="G21" s="21" t="s">
        <v>107</v>
      </c>
      <c r="H21" s="21">
        <v>9228845456</v>
      </c>
      <c r="I21" s="21">
        <v>105</v>
      </c>
      <c r="J21" s="21" t="s">
        <v>85</v>
      </c>
      <c r="K21" s="21">
        <v>31376</v>
      </c>
      <c r="L21" s="25">
        <v>51000</v>
      </c>
    </row>
    <row r="22" spans="1:12" x14ac:dyDescent="0.25">
      <c r="A22" s="21">
        <v>1020</v>
      </c>
      <c r="B22" s="21" t="s">
        <v>136</v>
      </c>
      <c r="C22" s="21" t="s">
        <v>137</v>
      </c>
      <c r="D22" s="21" t="s">
        <v>173</v>
      </c>
      <c r="E22" s="21" t="s">
        <v>106</v>
      </c>
      <c r="F22" s="21" t="s">
        <v>83</v>
      </c>
      <c r="G22" s="21" t="s">
        <v>107</v>
      </c>
      <c r="H22" s="21">
        <v>9228845456</v>
      </c>
      <c r="I22" s="21">
        <v>105</v>
      </c>
      <c r="J22" s="21" t="s">
        <v>85</v>
      </c>
      <c r="K22" s="21">
        <v>31376</v>
      </c>
      <c r="L22" s="25">
        <v>51000</v>
      </c>
    </row>
    <row r="27" spans="1:12" x14ac:dyDescent="0.25">
      <c r="C27" t="s">
        <v>176</v>
      </c>
      <c r="D27" t="s">
        <v>177</v>
      </c>
      <c r="E27" t="s">
        <v>73</v>
      </c>
      <c r="F27" t="s">
        <v>178</v>
      </c>
    </row>
    <row r="28" spans="1:12" x14ac:dyDescent="0.25">
      <c r="C28" t="s">
        <v>169</v>
      </c>
      <c r="D28" t="str">
        <f>VLOOKUP(C28,D2:E22,2,FALSE)</f>
        <v>ST</v>
      </c>
      <c r="E28" t="str">
        <f>VLOOKUP(C28,D2:F22,3,FALSE)</f>
        <v>North</v>
      </c>
      <c r="F28">
        <f>VLOOKUP(C28,D2:H22,5,FALSE)</f>
        <v>7972148585</v>
      </c>
    </row>
    <row r="29" spans="1:12" x14ac:dyDescent="0.25">
      <c r="C29" t="s">
        <v>158</v>
      </c>
      <c r="D29" t="str">
        <f>VLOOKUP(C29,D3:E23,2,FALSE)</f>
        <v>PR</v>
      </c>
      <c r="E29" t="str">
        <f>VLOOKUP(C29,D3:F23,3,FALSE)</f>
        <v>West</v>
      </c>
      <c r="F29">
        <f>VLOOKUP(C29,D3:H23,5,FALSE)</f>
        <v>7879177554</v>
      </c>
    </row>
  </sheetData>
  <dataValidations count="1">
    <dataValidation type="list" allowBlank="1" showInputMessage="1" showErrorMessage="1" sqref="C28:C29" xr:uid="{B260A72D-C8E4-4E3B-9E2F-3D256792F985}">
      <formula1>$D$2:$D$22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Lookup1</vt:lpstr>
      <vt:lpstr>Lookup2</vt:lpstr>
      <vt:lpstr>Lookup3</vt:lpstr>
      <vt:lpstr>Text2Column</vt:lpstr>
      <vt:lpstr>FlashFill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Das</dc:creator>
  <cp:lastModifiedBy>Milan Das</cp:lastModifiedBy>
  <dcterms:created xsi:type="dcterms:W3CDTF">2024-03-22T04:15:08Z</dcterms:created>
  <dcterms:modified xsi:type="dcterms:W3CDTF">2025-10-18T07:18:15Z</dcterms:modified>
</cp:coreProperties>
</file>